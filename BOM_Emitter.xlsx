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<sst xmlns="http://schemas.openxmlformats.org/spreadsheetml/2006/main" count="50" uniqueCount="45">
  <si>
    <t>Bill of Materials (BOM) — Emitter Node</t>
  </si>
  <si>
    <t>Designator</t>
  </si>
  <si>
    <t>Component (model/part no.)</t>
  </si>
  <si>
    <t>Number</t>
  </si>
  <si>
    <t>Cost per unit (USD)</t>
  </si>
  <si>
    <t>Total cost (USD)</t>
  </si>
  <si>
    <t>Source of materials</t>
  </si>
  <si>
    <t>Material type</t>
  </si>
  <si>
    <t>Notes</t>
  </si>
  <si>
    <t>A1</t>
  </si>
  <si>
    <t>Battery holder (2x18650)</t>
  </si>
  <si>
    <t xml:space="preserve">https://es.aliexpress.com/item/1005003099547301.html?spm=a2g0o.productlist.main.18.67352c2cUkf7zz&amp;algo_pvid=fa75bea1-b6f1-486b-93e9-20be58840ccf&amp;algo_exp_id=fa75bea1-b6f1-486b-93e9-20be58840ccf-17&amp;pdp_ext_f=%7B%22order%22%3A%2289%22%2C%22eval%22%3A%221%22%2C%22fromPage%22%3A%22search%22%7D&amp;pdp_npi=6%40dis%21PEN%210.66%210.59%21%21%210.19%210.17%21%402101c44f17673162915928586e0fb8%2112000035419373446%21sea%21PE%210%21ABX%211%210%21n_tag%3A-29910%3Bd%3A9a68693d%3Bm03_new_user%3A-29895&amp;curPageLogUid=MbcUSyHYDEGK&amp;utparam-url=scene%3Asearch%7Cquery_from%3A%7Cx_object_id%3A1005003099547301%7C_p_origin_prod%3A&amp;gatewayAdapt=glo2esp </t>
  </si>
  <si>
    <t>polymer</t>
  </si>
  <si>
    <t>Labeled components photo (A1).</t>
  </si>
  <si>
    <t>A2</t>
  </si>
  <si>
    <t>Rocker switch (ON/OFF)</t>
  </si>
  <si>
    <t xml:space="preserve">https://es.aliexpress.com/item/1005008778176373.html?spm=a2g0o.productlist.main.4.f3f223c9w1c0gS&amp;aem_p4p_detail=202601011713161284453998614800005826472&amp;algo_pvid=7ab09dd9-4705-408b-aa35-6a5daa0fa58a&amp;algo_exp_id=7ab09dd9-4705-408b-aa35-6a5daa0fa58a-3&amp;pdp_ext_f=%7B%22order%22%3A%221278%22%2C%22spu_best_type%22%3A%22order%22%2C%22eval%22%3A%221%22%2C%22fromPage%22%3A%22search%22%7D&amp;pdp_npi=6%40dis%21USD%212.09%212.09%21%21%2114.50%2114.50%21%402101e2b017673163960254594ee7ba%2112000046629830173%21sea%21PE%212833520315%21X%211%210%21n_tag%3A-29919%3Bd%3A9a68693d%3Bm03_new_user%3A-29895&amp;curPageLogUid=7gIBa3QJUuWY&amp;utparam-url=scene%3Asearch%7Cquery_from%3A%7Cx_object_id%3A1005008778176373%7C_p_origin_prod%3A&amp;search_p4p_id=202601011713161284453998614800005826472_1 </t>
  </si>
  <si>
    <t>Labeled components photo (A2).</t>
  </si>
  <si>
    <t>A3</t>
  </si>
  <si>
    <t>ESP32 development board (ESP-WROOM-32)</t>
  </si>
  <si>
    <t xml:space="preserve">https://es.aliexpress.com/item/1005008341916999.html?spm=a2g0o.productlist.main.2.63567d9dTGhmF3&amp;algo_pvid=ca2b7eb7-3de7-4c0b-a835-8b019fd34e02&amp;algo_exp_id=ca2b7eb7-3de7-4c0b-a835-8b019fd34e02-1&amp;pdp_ext_f=%7B%22order%22%3A%2219%22%2C%22eval%22%3A%221%22%2C%22fromPage%22%3A%22search%22%7D&amp;pdp_npi=6%40dis%21USD%2112.94%2110.09%21%21%2112.94%2110.09%21%40210328c017673164865491872eda49%2112000044663101882%21sea%21PE%212833520315%21X%211%210%21n_tag%3A-29919%3Bd%3A9a68693d%3Bm03_new_user%3A-29895&amp;curPageLogUid=FMwizPmD43Vt&amp;utparam-url=scene%3Asearch%7Cquery_from%3A%7Cx_object_id%3A1005008341916999%7C_p_origin_prod%3A </t>
  </si>
  <si>
    <t>semiconductor</t>
  </si>
  <si>
    <t>Labeled components photo (A3).</t>
  </si>
  <si>
    <t>A4</t>
  </si>
  <si>
    <t>Li-ion cells 18650 (3.7 V)</t>
  </si>
  <si>
    <t xml:space="preserve">https://es.aliexpress.com/item/1005010036622067.html?spm=a2g0o.productlist.main.4.284f746eFofxQL&amp;aem_p4p_detail=202601011728203015834497857470005837573&amp;algo_pvid=bb647df8-76b9-424d-a97a-0972ce36d120&amp;algo_exp_id=bb647df8-76b9-424d-a97a-0972ce36d120-3&amp;pdp_ext_f=%7B%22order%22%3A%2276%22%2C%22eval%22%3A%221%22%2C%22fromPage%22%3A%22search%22%7D&amp;pdp_npi=6%40dis%21USD%2113.64%217.91%21%21%2194.81%2154.99%21%402103123917673173008152932e1506%2112000050905723751%21sea%21PE%212833520315%21X%211%210%21n_tag%3A-29919%3Bd%3A9a68693d%3Bm03_new_user%3A-29895&amp;curPageLogUid=ruBuxMa2PnuG&amp;utparam-url=scene%3Asearch%7Cquery_from%3A%7Cx_object_id%3A1005010036622067%7C_p_origin_prod%3A&amp;search_p4p_id=202601011728203015834497857470005837573_1  </t>
  </si>
  <si>
    <t>other</t>
  </si>
  <si>
    <t>Labeled components photo (A4).</t>
  </si>
  <si>
    <t>A5</t>
  </si>
  <si>
    <t>Arduino Nano 33 BLE Sense (integrated microphone)</t>
  </si>
  <si>
    <t xml:space="preserve">https://es.aliexpress.com/item/1005009206152855.html?spm=a2g0o.productlist.main.1.123ae98fxXyzrZ&amp;algo_pvid=f9af680e-0b0b-4388-a266-0639af52ee92&amp;algo_exp_id=f9af680e-0b0b-4388-a266-0639af52ee92-0&amp;pdp_ext_f=%7B%22order%22%3A%226%22%2C%22eval%22%3A%221%22%2C%22fromPage%22%3A%22search%22%7D&amp;pdp_npi=6%40dis%21USD%2151.87%2147.72%21%21%21360.49%21331.65%21%402101e07217673165522471631e3bad%2112000048297209833%21sea%21PE%212833520315%21X%211%210%21n_tag%3A-29919%3Bd%3A9a68693d%3Bm03_new_user%3A-29895&amp;curPageLogUid=K9oVQeTE3ss9&amp;utparam-url=scene%3Asearch%7Cquery_from%3A%7Cx_object_id%3A1005009206152855%7C_p_origin_prod%3A </t>
  </si>
  <si>
    <t>Labeled components photo (A5).</t>
  </si>
  <si>
    <t>A6</t>
  </si>
  <si>
    <t>Linear regulator 5 V (TO-220, e.g., 7805)</t>
  </si>
  <si>
    <t xml:space="preserve">https://es.aliexpress.com/item/1005003711055538.html?spm=a2g0o.productlist.main.2.29c32eb4KCHkR2&amp;algo_pvid=18411175-8316-4375-b48b-dd7013f34cfb&amp;algo_exp_id=18411175-8316-4375-b48b-dd7013f34cfb-1&amp;pdp_ext_f=%7B%22order%22%3A%2246%22%2C%22spu_best_type%22%3A%22price%22%2C%22eval%22%3A%221%22%2C%22fromPage%22%3A%22search%22%7D&amp;pdp_npi=6%40dis%21USD%210.70%210.45%21%21%210.70%210.45%21%40210328d417673175512858782ec36a%2112000026894261701%21sea%21PE%212833520315%21X%211%210%21n_tag%3A-29919%3Bd%3A9a68693d%3Bm03_new_user%3A-29895&amp;curPageLogUid=Sdd7uUxHTzd9&amp;utparam-url=scene%3Asearch%7Cquery_from%3A%7Cx_object_id%3A1005003711055538%7C_p_origin_prod%3A </t>
  </si>
  <si>
    <t>Labeled components photo (A6).</t>
  </si>
  <si>
    <t>A7</t>
  </si>
  <si>
    <t>LoRa module Ebyte E220-900T30D (or equivalent)</t>
  </si>
  <si>
    <t xml:space="preserve">https://es.aliexpress.com/item/1005010586468893.html?spm=a2g0o.productlist.main.1.18dc2cc2SPF8IR&amp;algo_pvid=cf2f43b6-aa38-470c-b52e-106c2afe0fbe&amp;algo_exp_id=cf2f43b6-aa38-470c-b52e-106c2afe0fbe-0&amp;pdp_ext_f=%7B%22order%22%3A%221%22%2C%22eval%22%3A%221%22%2C%22fromPage%22%3A%22search%22%7D&amp;pdp_npi=6%40dis%21USD%2110.14%2110.14%21%21%2170.48%2170.48%21%402101e81117673173729966254e69c2%2112000052903860880%21sea%21PE%212833520315%21X%211%210%21n_tag%3A-29919%3Bd%3A9a68693d%3Bm03_new_user%3A-29895&amp;curPageLogUid=Vvtci6Jekddb&amp;utparam-url=scene%3Asearch%7Cquery_from%3A%7Cx_object_id%3A1005010586468893%7C_p_origin_prod%3A </t>
  </si>
  <si>
    <t>Labeled components photo (A7).</t>
  </si>
  <si>
    <t>A8</t>
  </si>
  <si>
    <t>Linear regulator 3.3 V (TO-220, e.g., LM1117-3.3)</t>
  </si>
  <si>
    <t xml:space="preserve">https://es.aliexpress.com/item/33003651682.html?spm=a2g0o.productlist.main.5.35e05b86BkTiAT&amp;algo_pvid=2bbda795-03a0-4a3e-b217-54148e9e886f&amp;algo_exp_id=2bbda795-03a0-4a3e-b217-54148e9e886f-4&amp;pdp_ext_f=%7B%22order%22%3A%2223%22%2C%22eval%22%3A%221%22%2C%22fromPage%22%3A%22search%22%7D&amp;pdp_npi=6%40dis%21USD%212.06%212.06%21%21%212.06%212.06%21%402103122117673175887805234e1b5e%2166950279211%21sea%21PE%212833520315%21X%211%210%21n_tag%3A-29919%3Bd%3A9a68693d%3Bm03_new_user%3A-29895&amp;curPageLogUid=vSk1OgNOU0ZY&amp;utparam-url=scene%3Asearch%7Cquery_from%3A%7Cx_object_id%3A33003651682%7C_p_origin_prod%3A </t>
  </si>
  <si>
    <t>Labeled components photo (A8).</t>
  </si>
  <si>
    <t>Estimated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</si>
</sst>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"/>
  </numFmts>
  <fonts count="25">
    <font>
      <sz val="11"/>
      <color theme="1"/>
      <name val="Calibri"/>
      <charset val="134"/>
      <scheme val="minor"/>
    </font>
    <font>
      <b/>
      <sz val="14"/>
      <name val="Calibri"/>
      <charset val="134"/>
    </font>
    <font>
      <b/>
      <sz val="11"/>
      <color rgb="FFFFFFFF"/>
      <name val="Calibri"/>
      <charset val="134"/>
    </font>
    <font>
      <u/>
      <sz val="11"/>
      <color rgb="FF800080"/>
      <name val="Calibri"/>
      <charset val="0"/>
      <scheme val="minor"/>
    </font>
    <font>
      <b/>
      <sz val="11"/>
      <name val="Calibri"/>
      <charset val="134"/>
    </font>
    <font>
      <i/>
      <sz val="11"/>
      <color rgb="FF555555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medium">
        <color rgb="FF000000"/>
      </top>
      <bottom style="thin">
        <color rgb="FFA0A0A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3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78" fontId="0" fillId="0" borderId="1" xfId="0" applyNumberFormat="1" applyBorder="1" applyAlignment="1">
      <alignment vertical="top" wrapText="1"/>
    </xf>
    <xf numFmtId="0" fontId="3" fillId="0" borderId="1" xfId="6" applyFont="1" applyBorder="1" applyAlignment="1">
      <alignment vertical="top" wrapText="1"/>
    </xf>
    <xf numFmtId="0" fontId="0" fillId="0" borderId="1" xfId="0" applyBorder="1"/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178" fontId="4" fillId="0" borderId="2" xfId="0" applyNumberFormat="1" applyFont="1" applyBorder="1" applyAlignment="1">
      <alignment vertical="center"/>
    </xf>
    <xf numFmtId="0" fontId="5" fillId="0" borderId="0" xfId="0" applyFont="1" applyAlignment="1">
      <alignment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33003651682.html?spm=a2g0o.productlist.main.5.35e05b86BkTiAT&amp;algo_pvid=2bbda795-03a0-4a3e-b217-54148e9e886f&amp;algo_exp_id=2bbda795-03a0-4a3e-b217-54148e9e886f-4&amp;pdp_ext_f=%7B%22order%22%3A%2223%22%2C%22eval%22%3A%221%22%2C%22fromPage%22%3A%22search%22%7D&amp;pdp_npi=6%40dis%21USD%212.06%212.06%21%21%212.06%212.06%21%402103122117673175887805234e1b5e%2166950279211%21sea%21PE%212833520315%21X%211%210%21n_tag%3A-29919%3Bd%3A9a68693d%3Bm03_new_user%3A-29895&amp;curPageLogUid=vSk1OgNOU0ZY&amp;utparam-url=scene%3Asearch%7Cquery_from%3A%7Cx_object_id%3A33003651682%7C_p_origin_prod%3A" TargetMode="External"/><Relationship Id="rId7" Type="http://schemas.openxmlformats.org/officeDocument/2006/relationships/hyperlink" Target="https://es.aliexpress.com/item/1005010586468893.html?spm=a2g0o.productlist.main.1.18dc2cc2SPF8IR&amp;algo_pvid=cf2f43b6-aa38-470c-b52e-106c2afe0fbe&amp;algo_exp_id=cf2f43b6-aa38-470c-b52e-106c2afe0fbe-0&amp;pdp_ext_f=%7B%22order%22%3A%221%22%2C%22eval%22%3A%221%22%2C%22fromPage%22%3A%22search%22%7D&amp;pdp_npi=6%40dis%21USD%2110.14%2110.14%21%21%2170.48%2170.48%21%402101e81117673173729966254e69c2%2112000052903860880%21sea%21PE%212833520315%21X%211%210%21n_tag%3A-29919%3Bd%3A9a68693d%3Bm03_new_user%3A-29895&amp;curPageLogUid=Vvtci6Jekddb&amp;utparam-url=scene%3Asearch%7Cquery_from%3A%7Cx_object_id%3A1005010586468893%7C_p_origin_prod%3A" TargetMode="External"/><Relationship Id="rId6" Type="http://schemas.openxmlformats.org/officeDocument/2006/relationships/hyperlink" Target="https://es.aliexpress.com/item/1005003711055538.html?spm=a2g0o.productlist.main.2.29c32eb4KCHkR2&amp;algo_pvid=18411175-8316-4375-b48b-dd7013f34cfb&amp;algo_exp_id=18411175-8316-4375-b48b-dd7013f34cfb-1&amp;pdp_ext_f=%7B%22order%22%3A%2246%22%2C%22spu_best_type%22%3A%22price%22%2C%22eval%22%3A%221%22%2C%22fromPage%22%3A%22search%22%7D&amp;pdp_npi=6%40dis%21USD%210.70%210.45%21%21%210.70%210.45%21%40210328d417673175512858782ec36a%2112000026894261701%21sea%21PE%212833520315%21X%211%210%21n_tag%3A-29919%3Bd%3A9a68693d%3Bm03_new_user%3A-29895&amp;curPageLogUid=Sdd7uUxHTzd9&amp;utparam-url=scene%3Asearch%7Cquery_from%3A%7Cx_object_id%3A1005003711055538%7C_p_origin_prod%3A" TargetMode="External"/><Relationship Id="rId5" Type="http://schemas.openxmlformats.org/officeDocument/2006/relationships/hyperlink" Target="https://es.aliexpress.com/item/1005009206152855.html?spm=a2g0o.productlist.main.1.123ae98fxXyzrZ&amp;algo_pvid=f9af680e-0b0b-4388-a266-0639af52ee92&amp;algo_exp_id=f9af680e-0b0b-4388-a266-0639af52ee92-0&amp;pdp_ext_f=%7B%22order%22%3A%226%22%2C%22eval%22%3A%221%22%2C%22fromPage%22%3A%22search%22%7D&amp;pdp_npi=6%40dis%21USD%2151.87%2147.72%21%21%21360.49%21331.65%21%402101e07217673165522471631e3bad%2112000048297209833%21sea%21PE%212833520315%21X%211%210%21n_tag%3A-29919%3Bd%3A9a68693d%3Bm03_new_user%3A-29895&amp;curPageLogUid=K9oVQeTE3ss9&amp;utparam-url=scene%3Asearch%7Cquery_from%3A%7Cx_object_id%3A1005009206152855%7C_p_origin_prod%3A" TargetMode="External"/><Relationship Id="rId4" Type="http://schemas.openxmlformats.org/officeDocument/2006/relationships/hyperlink" Target="https://es.aliexpress.com/item/1005010036622067.html?spm=a2g0o.productlist.main.4.284f746eFofxQL&amp;aem_p4p_detail=202601011728203015834497857470005837573&amp;algo_pvid=bb647df8-76b9-424d-a97a-0972ce36d120&amp;algo_exp_id=bb647df8-76b9-424d-a97a-0972ce36d120-3&amp;pdp_ext_f=%7B%22order%22%3A%2276%22%2C%22eval%22%3A%221%22%2C%22fromPage%22%3A%22search%22%7D&amp;pdp_npi=6%40dis%21USD%2113.64%217.91%21%21%2194.81%2154.99%21%402103123917673173008152932e1506%2112000050905723751%21sea%21PE%212833520315%21X%211%210%21n_tag%3A-29919%3Bd%3A9a68693d%3Bm03_new_user%3A-29895&amp;curPageLogUid=ruBuxMa2PnuG&amp;utparam-url=scene%3Asearch%7Cquery_from%3A%7Cx_object_id%3A1005010036622067%7C_p_origin_prod%3A&amp;search_p4p_id=202601011728203015834497857470005837573_1" TargetMode="External"/><Relationship Id="rId3" Type="http://schemas.openxmlformats.org/officeDocument/2006/relationships/hyperlink" Target="https://es.aliexpress.com/item/1005008341916999.html?spm=a2g0o.productlist.main.2.63567d9dTGhmF3&amp;algo_pvid=ca2b7eb7-3de7-4c0b-a835-8b019fd34e02&amp;algo_exp_id=ca2b7eb7-3de7-4c0b-a835-8b019fd34e02-1&amp;pdp_ext_f=%7B%22order%22%3A%2219%22%2C%22eval%22%3A%221%22%2C%22fromPage%22%3A%22search%22%7D&amp;pdp_npi=6%40dis%21USD%2112.94%2110.09%21%21%2112.94%2110.09%21%40210328c017673164865491872eda49%2112000044663101882%21sea%21PE%212833520315%21X%211%210%21n_tag%3A-29919%3Bd%3A9a68693d%3Bm03_new_user%3A-29895&amp;curPageLogUid=FMwizPmD43Vt&amp;utparam-url=scene%3Asearch%7Cquery_from%3A%7Cx_object_id%3A1005008341916999%7C_p_origin_prod%3A" TargetMode="External"/><Relationship Id="rId2" Type="http://schemas.openxmlformats.org/officeDocument/2006/relationships/hyperlink" Target="https://es.aliexpress.com/item/1005008778176373.html?spm=a2g0o.productlist.main.4.f3f223c9w1c0gS&amp;aem_p4p_detail=202601011713161284453998614800005826472&amp;algo_pvid=7ab09dd9-4705-408b-aa35-6a5daa0fa58a&amp;algo_exp_id=7ab09dd9-4705-408b-aa35-6a5daa0fa58a-3&amp;pdp_ext_f=%7B%22order%22%3A%221278%22%2C%22spu_best_type%22%3A%22order%22%2C%22eval%22%3A%221%22%2C%22fromPage%22%3A%22search%22%7D&amp;pdp_npi=6%40dis%21USD%212.09%212.09%21%21%2114.50%2114.50%21%402101e2b017673163960254594ee7ba%2112000046629830173%21sea%21PE%212833520315%21X%211%210%21n_tag%3A-29919%3Bd%3A9a68693d%3Bm03_new_user%3A-29895&amp;curPageLogUid=7gIBa3QJUuWY&amp;utparam-url=scene%3Asearch%7Cquery_from%3A%7Cx_object_id%3A1005008778176373%7C_p_origin_prod%3A&amp;search_p4p_id=202601011713161284453998614800005826472_1" TargetMode="External"/><Relationship Id="rId1" Type="http://schemas.openxmlformats.org/officeDocument/2006/relationships/hyperlink" Target="https://es.aliexpress.com/item/1005003099547301.html?spm=a2g0o.productlist.main.18.67352c2cUkf7zz&amp;algo_pvid=fa75bea1-b6f1-486b-93e9-20be58840ccf&amp;algo_exp_id=fa75bea1-b6f1-486b-93e9-20be58840ccf-17&amp;pdp_ext_f=%7B%22order%22%3A%2289%22%2C%22eval%22%3A%221%22%2C%22fromPage%22%3A%22search%22%7D&amp;pdp_npi=6%40dis%21PEN%210.66%210.59%21%21%210.19%210.17%21%402101c44f17673162915928586e0fb8%2112000035419373446%21sea%21PE%210%21ABX%211%210%21n_tag%3A-29910%3Bd%3A9a68693d%3Bm03_new_user%3A-29895&amp;curPageLogUid=MbcUSyHYDEGK&amp;utparam-url=scene%3Asearch%7Cquery_from%3A%7Cx_object_id%3A1005003099547301%7C_p_origin_prod%3A&amp;gatewayAdapt=glo2e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tabSelected="1" topLeftCell="A9" workbookViewId="0">
      <selection activeCell="F10" sqref="F10"/>
    </sheetView>
  </sheetViews>
  <sheetFormatPr defaultColWidth="8.72222222222222" defaultRowHeight="14.4" outlineLevelCol="7"/>
  <cols>
    <col min="1" max="1" width="9.77777777777778" customWidth="1"/>
    <col min="2" max="2" width="44" customWidth="1"/>
    <col min="3" max="3" width="10" customWidth="1"/>
    <col min="4" max="5" width="16" customWidth="1"/>
    <col min="6" max="6" width="69.7777777777778" customWidth="1"/>
    <col min="7" max="7" width="14" customWidth="1"/>
    <col min="8" max="8" width="28" customWidth="1"/>
  </cols>
  <sheetData>
    <row r="1" ht="16" customHeight="1" spans="1:1">
      <c r="A1" s="1" t="s">
        <v>0</v>
      </c>
    </row>
    <row r="2" ht="28.8" spans="1:8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ht="158.4" spans="1:8">
      <c r="A3" s="3" t="s">
        <v>9</v>
      </c>
      <c r="B3" s="3" t="s">
        <v>10</v>
      </c>
      <c r="C3" s="4">
        <v>1</v>
      </c>
      <c r="D3" s="5">
        <v>0.17</v>
      </c>
      <c r="E3" s="5">
        <f>IF(AND(C3&lt;&gt;"",D3&lt;&gt;""),C3*D3,"")</f>
        <v>0.17</v>
      </c>
      <c r="F3" s="6" t="s">
        <v>11</v>
      </c>
      <c r="G3" s="3" t="s">
        <v>12</v>
      </c>
      <c r="H3" s="3" t="s">
        <v>13</v>
      </c>
    </row>
    <row r="4" ht="201.6" spans="1:8">
      <c r="A4" s="3" t="s">
        <v>14</v>
      </c>
      <c r="B4" s="3" t="s">
        <v>15</v>
      </c>
      <c r="C4" s="4">
        <v>1</v>
      </c>
      <c r="D4" s="5">
        <v>0.42</v>
      </c>
      <c r="E4" s="5">
        <f>IF(AND(C4&lt;&gt;"",D4&lt;&gt;""),C4*D4,"")</f>
        <v>0.42</v>
      </c>
      <c r="F4" s="6" t="s">
        <v>16</v>
      </c>
      <c r="G4" s="3" t="s">
        <v>12</v>
      </c>
      <c r="H4" s="3" t="s">
        <v>17</v>
      </c>
    </row>
    <row r="5" ht="158.4" spans="1:8">
      <c r="A5" s="3" t="s">
        <v>18</v>
      </c>
      <c r="B5" s="3" t="s">
        <v>19</v>
      </c>
      <c r="C5" s="4">
        <v>1</v>
      </c>
      <c r="D5" s="5">
        <v>10.09</v>
      </c>
      <c r="E5" s="5">
        <f>IF(AND(C5&lt;&gt;"",D5&lt;&gt;""),C5*D5,"")</f>
        <v>10.09</v>
      </c>
      <c r="F5" s="6" t="s">
        <v>20</v>
      </c>
      <c r="G5" s="3" t="s">
        <v>21</v>
      </c>
      <c r="H5" s="3" t="s">
        <v>22</v>
      </c>
    </row>
    <row r="6" ht="187.2" spans="1:8">
      <c r="A6" s="3" t="s">
        <v>23</v>
      </c>
      <c r="B6" s="3" t="s">
        <v>24</v>
      </c>
      <c r="C6" s="4">
        <v>2</v>
      </c>
      <c r="D6" s="5">
        <v>7.91</v>
      </c>
      <c r="E6" s="5">
        <f>IF(AND(C6&lt;&gt;"",D6&lt;&gt;""),C6*D6,"")</f>
        <v>15.82</v>
      </c>
      <c r="F6" s="6" t="s">
        <v>25</v>
      </c>
      <c r="G6" s="3" t="s">
        <v>26</v>
      </c>
      <c r="H6" s="3" t="s">
        <v>27</v>
      </c>
    </row>
    <row r="7" ht="158.4" spans="1:8">
      <c r="A7" s="3" t="s">
        <v>28</v>
      </c>
      <c r="B7" s="3" t="s">
        <v>29</v>
      </c>
      <c r="C7" s="4">
        <v>1</v>
      </c>
      <c r="D7" s="5">
        <v>47.72</v>
      </c>
      <c r="E7" s="5">
        <f>IF(AND(C7&lt;&gt;"",D7&lt;&gt;""),C7*D7,"")</f>
        <v>47.72</v>
      </c>
      <c r="F7" s="6" t="s">
        <v>30</v>
      </c>
      <c r="G7" s="3" t="s">
        <v>21</v>
      </c>
      <c r="H7" s="3" t="s">
        <v>31</v>
      </c>
    </row>
    <row r="8" ht="172.8" spans="1:8">
      <c r="A8" s="3" t="s">
        <v>32</v>
      </c>
      <c r="B8" s="3" t="s">
        <v>33</v>
      </c>
      <c r="C8" s="4">
        <v>1</v>
      </c>
      <c r="D8" s="5">
        <v>0.45</v>
      </c>
      <c r="E8" s="5">
        <f>IF(AND(C8&lt;&gt;"",D8&lt;&gt;""),C8*D8,"")</f>
        <v>0.45</v>
      </c>
      <c r="F8" s="6" t="s">
        <v>34</v>
      </c>
      <c r="G8" s="3" t="s">
        <v>21</v>
      </c>
      <c r="H8" s="3" t="s">
        <v>35</v>
      </c>
    </row>
    <row r="9" ht="158.4" spans="1:8">
      <c r="A9" s="3" t="s">
        <v>36</v>
      </c>
      <c r="B9" s="3" t="s">
        <v>37</v>
      </c>
      <c r="C9" s="4">
        <v>1</v>
      </c>
      <c r="D9" s="5">
        <v>10.14</v>
      </c>
      <c r="E9" s="5">
        <f>IF(AND(C9&lt;&gt;"",D9&lt;&gt;""),C9*D9,"")</f>
        <v>10.14</v>
      </c>
      <c r="F9" s="6" t="s">
        <v>38</v>
      </c>
      <c r="G9" s="3" t="s">
        <v>21</v>
      </c>
      <c r="H9" s="3" t="s">
        <v>39</v>
      </c>
    </row>
    <row r="10" ht="158.4" spans="1:8">
      <c r="A10" s="3" t="s">
        <v>40</v>
      </c>
      <c r="B10" s="3" t="s">
        <v>41</v>
      </c>
      <c r="C10" s="4">
        <v>1</v>
      </c>
      <c r="D10" s="5">
        <v>0.21</v>
      </c>
      <c r="E10" s="5">
        <f>IF(AND(C10&lt;&gt;"",D10&lt;&gt;""),C10*D10,"")</f>
        <v>0.21</v>
      </c>
      <c r="F10" s="6" t="s">
        <v>42</v>
      </c>
      <c r="G10" s="3" t="s">
        <v>21</v>
      </c>
      <c r="H10" s="3" t="s">
        <v>43</v>
      </c>
    </row>
    <row r="11" ht="15.15" spans="1:8">
      <c r="A11" s="7"/>
      <c r="B11" s="7"/>
      <c r="C11" s="7"/>
      <c r="D11" s="7"/>
      <c r="E11" s="7"/>
      <c r="F11" s="7"/>
      <c r="G11" s="7"/>
      <c r="H11" s="7"/>
    </row>
    <row r="12" ht="13.4" customHeight="1" spans="1:8">
      <c r="A12" s="8" t="s">
        <v>44</v>
      </c>
      <c r="B12" s="9"/>
      <c r="C12" s="9"/>
      <c r="D12" s="9"/>
      <c r="E12" s="10">
        <f>IF(COUNT(E3:E10)=0,"",SUM(E3:E10))</f>
        <v>85.02</v>
      </c>
      <c r="F12" s="9"/>
      <c r="G12" s="9"/>
      <c r="H12" s="9"/>
    </row>
    <row r="14" ht="20" customHeight="1" spans="1:1">
      <c r="A14" s="11"/>
    </row>
  </sheetData>
  <mergeCells count="3">
    <mergeCell ref="A1:H1"/>
    <mergeCell ref="A12:D12"/>
    <mergeCell ref="A14:H14"/>
  </mergeCells>
  <hyperlinks>
    <hyperlink ref="F3" r:id="rId1" display="https://es.aliexpress.com/item/1005003099547301.html?spm=a2g0o.productlist.main.18.67352c2cUkf7zz&amp;algo_pvid=fa75bea1-b6f1-486b-93e9-20be58840ccf&amp;algo_exp_id=fa75bea1-b6f1-486b-93e9-20be58840ccf-17&amp;pdp_ext_f=%7B%22order%22%3A%2289%22%2C%22eval%22%3A%221%22%2C%22fromPage%22%3A%22search%22%7D&amp;pdp_npi=6%40dis%21PEN%210.66%210.59%21%21%210.19%210.17%21%402101c44f17673162915928586e0fb8%2112000035419373446%21sea%21PE%210%21ABX%211%210%21n_tag%3A-29910%3Bd%3A9a68693d%3Bm03_new_user%3A-29895&amp;curPageLogUid=MbcUSyHYDEGK&amp;utparam-url=scene%3Asearch%7Cquery_from%3A%7Cx_object_id%3A1005003099547301%7C_p_origin_prod%3A&amp;gatewayAdapt=glo2esp "/>
    <hyperlink ref="F4" r:id="rId2" display="https://es.aliexpress.com/item/1005008778176373.html?spm=a2g0o.productlist.main.4.f3f223c9w1c0gS&amp;aem_p4p_detail=202601011713161284453998614800005826472&amp;algo_pvid=7ab09dd9-4705-408b-aa35-6a5daa0fa58a&amp;algo_exp_id=7ab09dd9-4705-408b-aa35-6a5daa0fa58a-3&amp;pdp_ext_f=%7B%22order%22%3A%221278%22%2C%22spu_best_type%22%3A%22order%22%2C%22eval%22%3A%221%22%2C%22fromPage%22%3A%22search%22%7D&amp;pdp_npi=6%40dis%21USD%212.09%212.09%21%21%2114.50%2114.50%21%402101e2b017673163960254594ee7ba%2112000046629830173%21sea%21PE%212833520315%21X%211%210%21n_tag%3A-29919%3Bd%3A9a68693d%3Bm03_new_user%3A-29895&amp;curPageLogUid=7gIBa3QJUuWY&amp;utparam-url=scene%3Asearch%7Cquery_from%3A%7Cx_object_id%3A1005008778176373%7C_p_origin_prod%3A&amp;search_p4p_id=202601011713161284453998614800005826472_1 "/>
    <hyperlink ref="F5" r:id="rId3" display="https://es.aliexpress.com/item/1005008341916999.html?spm=a2g0o.productlist.main.2.63567d9dTGhmF3&amp;algo_pvid=ca2b7eb7-3de7-4c0b-a835-8b019fd34e02&amp;algo_exp_id=ca2b7eb7-3de7-4c0b-a835-8b019fd34e02-1&amp;pdp_ext_f=%7B%22order%22%3A%2219%22%2C%22eval%22%3A%221%22%2C%22fromPage%22%3A%22search%22%7D&amp;pdp_npi=6%40dis%21USD%2112.94%2110.09%21%21%2112.94%2110.09%21%40210328c017673164865491872eda49%2112000044663101882%21sea%21PE%212833520315%21X%211%210%21n_tag%3A-29919%3Bd%3A9a68693d%3Bm03_new_user%3A-29895&amp;curPageLogUid=FMwizPmD43Vt&amp;utparam-url=scene%3Asearch%7Cquery_from%3A%7Cx_object_id%3A1005008341916999%7C_p_origin_prod%3A "/>
    <hyperlink ref="F6" r:id="rId4" display="https://es.aliexpress.com/item/1005010036622067.html?spm=a2g0o.productlist.main.4.284f746eFofxQL&amp;aem_p4p_detail=202601011728203015834497857470005837573&amp;algo_pvid=bb647df8-76b9-424d-a97a-0972ce36d120&amp;algo_exp_id=bb647df8-76b9-424d-a97a-0972ce36d120-3&amp;pdp_ext_f=%7B%22order%22%3A%2276%22%2C%22eval%22%3A%221%22%2C%22fromPage%22%3A%22search%22%7D&amp;pdp_npi=6%40dis%21USD%2113.64%217.91%21%21%2194.81%2154.99%21%402103123917673173008152932e1506%2112000050905723751%21sea%21PE%212833520315%21X%211%210%21n_tag%3A-29919%3Bd%3A9a68693d%3Bm03_new_user%3A-29895&amp;curPageLogUid=ruBuxMa2PnuG&amp;utparam-url=scene%3Asearch%7Cquery_from%3A%7Cx_object_id%3A1005010036622067%7C_p_origin_prod%3A&amp;search_p4p_id=202601011728203015834497857470005837573_1  " tooltip="https://es.aliexpress.com/item/1005010036622067.html?spm=a2g0o.productlist.main.4.284f746eFofxQL&amp;aem_p4p_detail=202601011728203015834497857470005837573&amp;algo_pvid=bb647df8-76b9-424d-a97a-0972ce36d120&amp;algo_exp_id=bb647df8-76b9-424d-a97a-0972ce36d120-3&amp;pdp_e"/>
    <hyperlink ref="F7" r:id="rId5" display="https://es.aliexpress.com/item/1005009206152855.html?spm=a2g0o.productlist.main.1.123ae98fxXyzrZ&amp;algo_pvid=f9af680e-0b0b-4388-a266-0639af52ee92&amp;algo_exp_id=f9af680e-0b0b-4388-a266-0639af52ee92-0&amp;pdp_ext_f=%7B%22order%22%3A%226%22%2C%22eval%22%3A%221%22%2C%22fromPage%22%3A%22search%22%7D&amp;pdp_npi=6%40dis%21USD%2151.87%2147.72%21%21%21360.49%21331.65%21%402101e07217673165522471631e3bad%2112000048297209833%21sea%21PE%212833520315%21X%211%210%21n_tag%3A-29919%3Bd%3A9a68693d%3Bm03_new_user%3A-29895&amp;curPageLogUid=K9oVQeTE3ss9&amp;utparam-url=scene%3Asearch%7Cquery_from%3A%7Cx_object_id%3A1005009206152855%7C_p_origin_prod%3A "/>
    <hyperlink ref="F8" r:id="rId6" display="https://es.aliexpress.com/item/1005003711055538.html?spm=a2g0o.productlist.main.2.29c32eb4KCHkR2&amp;algo_pvid=18411175-8316-4375-b48b-dd7013f34cfb&amp;algo_exp_id=18411175-8316-4375-b48b-dd7013f34cfb-1&amp;pdp_ext_f=%7B%22order%22%3A%2246%22%2C%22spu_best_type%22%3A%22price%22%2C%22eval%22%3A%221%22%2C%22fromPage%22%3A%22search%22%7D&amp;pdp_npi=6%40dis%21USD%210.70%210.45%21%21%210.70%210.45%21%40210328d417673175512858782ec36a%2112000026894261701%21sea%21PE%212833520315%21X%211%210%21n_tag%3A-29919%3Bd%3A9a68693d%3Bm03_new_user%3A-29895&amp;curPageLogUid=Sdd7uUxHTzd9&amp;utparam-url=scene%3Asearch%7Cquery_from%3A%7Cx_object_id%3A1005003711055538%7C_p_origin_prod%3A "/>
    <hyperlink ref="F9" r:id="rId7" display="https://es.aliexpress.com/item/1005010586468893.html?spm=a2g0o.productlist.main.1.18dc2cc2SPF8IR&amp;algo_pvid=cf2f43b6-aa38-470c-b52e-106c2afe0fbe&amp;algo_exp_id=cf2f43b6-aa38-470c-b52e-106c2afe0fbe-0&amp;pdp_ext_f=%7B%22order%22%3A%221%22%2C%22eval%22%3A%221%22%2C%22fromPage%22%3A%22search%22%7D&amp;pdp_npi=6%40dis%21USD%2110.14%2110.14%21%21%2170.48%2170.48%21%402101e81117673173729966254e69c2%2112000052903860880%21sea%21PE%212833520315%21X%211%210%21n_tag%3A-29919%3Bd%3A9a68693d%3Bm03_new_user%3A-29895&amp;curPageLogUid=Vvtci6Jekddb&amp;utparam-url=scene%3Asearch%7Cquery_from%3A%7Cx_object_id%3A1005010586468893%7C_p_origin_prod%3A "/>
    <hyperlink ref="F10" r:id="rId8" display="https://es.aliexpress.com/item/33003651682.html?spm=a2g0o.productlist.main.5.35e05b86BkTiAT&amp;algo_pvid=2bbda795-03a0-4a3e-b217-54148e9e886f&amp;algo_exp_id=2bbda795-03a0-4a3e-b217-54148e9e886f-4&amp;pdp_ext_f=%7B%22order%22%3A%2223%22%2C%22eval%22%3A%221%22%2C%22fromPage%22%3A%22search%22%7D&amp;pdp_npi=6%40dis%21USD%212.06%212.06%21%21%212.06%212.06%21%402103122117673175887805234e1b5e%2166950279211%21sea%21PE%212833520315%21X%211%210%21n_tag%3A-29919%3Bd%3A9a68693d%3Bm03_new_user%3A-29895&amp;curPageLogUid=vSk1OgNOU0ZY&amp;utparam-url=scene%3Asearch%7Cquery_from%3A%7Cx_object_id%3A33003651682%7C_p_origin_prod%3A 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2026-01-02T01:38:53Z</dcterms:created>
  <dcterms:modified xsi:type="dcterms:W3CDTF">2026-01-02T01:45:46Z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1445ADA825FA42EE84D9203D4BF9ABB7_12</vt:lpwstr>
  </property>
  <property fmtid="{D5CDD505-2E9C-101B-9397-08002B2CF9AE}" pid="3" name="KSOProductBuildVer">
    <vt:lpwstr>2058-12.2.0.23196</vt:lpwstr>
  </property>
</Properties>
</file>