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aro\Downloads\"/>
    </mc:Choice>
  </mc:AlternateContent>
  <xr:revisionPtr revIDLastSave="0" documentId="13_ncr:1_{D12763C5-3498-437D-9D2E-E2BA437EE2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4" i="1"/>
  <c r="E3" i="1"/>
  <c r="E16" i="1" s="1"/>
</calcChain>
</file>

<file path=xl/sharedStrings.xml><?xml version="1.0" encoding="utf-8"?>
<sst xmlns="http://schemas.openxmlformats.org/spreadsheetml/2006/main" count="82" uniqueCount="52">
  <si>
    <t>Bill of Materials (BOM) — Emitter Node</t>
  </si>
  <si>
    <t>Designator</t>
  </si>
  <si>
    <t>Component (model/part no.)</t>
  </si>
  <si>
    <t>Number</t>
  </si>
  <si>
    <t>Cost per unit (USD)</t>
  </si>
  <si>
    <t>Total cost (USD)</t>
  </si>
  <si>
    <t>Source of materials</t>
  </si>
  <si>
    <t>Material type</t>
  </si>
  <si>
    <t>Notes</t>
  </si>
  <si>
    <t>A1</t>
  </si>
  <si>
    <t>Battery holder (2x18650)</t>
  </si>
  <si>
    <t/>
  </si>
  <si>
    <t>polymer</t>
  </si>
  <si>
    <t>Labeled components photo (A1).</t>
  </si>
  <si>
    <t>A2</t>
  </si>
  <si>
    <t>Rocker switch (ON/OFF)</t>
  </si>
  <si>
    <t>Labeled components photo (A2).</t>
  </si>
  <si>
    <t>A3</t>
  </si>
  <si>
    <t>ESP32 development board (ESP-WROOM-32)</t>
  </si>
  <si>
    <t>semiconductor</t>
  </si>
  <si>
    <t>Labeled components photo (A3).</t>
  </si>
  <si>
    <t>A4</t>
  </si>
  <si>
    <t>Li-ion cells 18650 (3.7 V)</t>
  </si>
  <si>
    <t>other</t>
  </si>
  <si>
    <t>Labeled components photo (A4).</t>
  </si>
  <si>
    <t>A5</t>
  </si>
  <si>
    <t>Arduino Nano 33 BLE Sense (integrated microphone)</t>
  </si>
  <si>
    <t>Labeled components photo (A5).</t>
  </si>
  <si>
    <t>A7</t>
  </si>
  <si>
    <t>LoRa module Ebyte E220-900T30D (or equivalent)</t>
  </si>
  <si>
    <t>Labeled components photo (A7).</t>
  </si>
  <si>
    <t>A6</t>
  </si>
  <si>
    <t>Linear regulator 5 V (TO-220, e.g., 7805)</t>
  </si>
  <si>
    <t>Labeled components photo (A6).</t>
  </si>
  <si>
    <t>A8</t>
  </si>
  <si>
    <t>Linear regulator 3.3 V (TO-220, e.g., LM1117-3.3)</t>
  </si>
  <si>
    <t>Labeled components photo (A8).</t>
  </si>
  <si>
    <t>ANT1</t>
  </si>
  <si>
    <t>LoRa antenna (SMA)</t>
  </si>
  <si>
    <t>composite</t>
  </si>
  <si>
    <t>Required for LoRa module.</t>
  </si>
  <si>
    <t>ENC1</t>
  </si>
  <si>
    <t>3D-printed enclosure (emitter)</t>
  </si>
  <si>
    <t>Printed from STL in repository.</t>
  </si>
  <si>
    <t>HW1</t>
  </si>
  <si>
    <t>Fasteners + threaded inserts + wiring</t>
  </si>
  <si>
    <t>non-specific</t>
  </si>
  <si>
    <t>Screws, standoffs, inserts, connectors, wire.</t>
  </si>
  <si>
    <t>PCB1</t>
  </si>
  <si>
    <t>Custom PCB (fabricated)</t>
  </si>
  <si>
    <t>Manufacturing service; cost depends on vendor.</t>
  </si>
  <si>
    <t>Estimated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</si>
</sst>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color rgb="FF55555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medium">
        <color rgb="FF00000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/>
    <xf numFmtId="0" fontId="0" fillId="0" borderId="2" xfId="0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0" fontId="4" fillId="0" borderId="0" xfId="0" applyFont="1" applyAlignment="1">
      <alignment wrapText="1"/>
    </xf>
    <xf numFmtId="0" fontId="0" fillId="0" borderId="0" xfId="0"/>
    <xf numFmtId="0" fontId="3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A8" workbookViewId="0">
      <selection activeCell="A18" sqref="A18:H18"/>
    </sheetView>
  </sheetViews>
  <sheetFormatPr baseColWidth="10" defaultColWidth="8.7265625" defaultRowHeight="14.5" x14ac:dyDescent="0.35"/>
  <cols>
    <col min="1" max="1" width="14" customWidth="1"/>
    <col min="2" max="2" width="44" customWidth="1"/>
    <col min="3" max="3" width="10" customWidth="1"/>
    <col min="4" max="5" width="16" customWidth="1"/>
    <col min="6" max="6" width="20" customWidth="1"/>
    <col min="7" max="7" width="14" customWidth="1"/>
    <col min="8" max="8" width="28" customWidth="1"/>
  </cols>
  <sheetData>
    <row r="1" spans="1:8" ht="16" customHeight="1" x14ac:dyDescent="0.35">
      <c r="A1" s="12" t="s">
        <v>0</v>
      </c>
      <c r="B1" s="9"/>
      <c r="C1" s="9"/>
      <c r="D1" s="9"/>
      <c r="E1" s="9"/>
      <c r="F1" s="9"/>
      <c r="G1" s="9"/>
      <c r="H1" s="9"/>
    </row>
    <row r="2" spans="1:8" ht="2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9" x14ac:dyDescent="0.35">
      <c r="A3" s="2" t="s">
        <v>9</v>
      </c>
      <c r="B3" s="2" t="s">
        <v>10</v>
      </c>
      <c r="C3" s="3">
        <v>1</v>
      </c>
      <c r="D3" s="4" t="s">
        <v>11</v>
      </c>
      <c r="E3" s="4" t="str">
        <f t="shared" ref="E3:E14" si="0">IF(AND(C3&lt;&gt;"",D3&lt;&gt;""),C3*D3,"")</f>
        <v/>
      </c>
      <c r="F3" s="2" t="s">
        <v>11</v>
      </c>
      <c r="G3" s="2" t="s">
        <v>12</v>
      </c>
      <c r="H3" s="2" t="s">
        <v>13</v>
      </c>
    </row>
    <row r="4" spans="1:8" ht="29" x14ac:dyDescent="0.35">
      <c r="A4" s="2" t="s">
        <v>14</v>
      </c>
      <c r="B4" s="2" t="s">
        <v>15</v>
      </c>
      <c r="C4" s="3">
        <v>1</v>
      </c>
      <c r="D4" s="4" t="s">
        <v>11</v>
      </c>
      <c r="E4" s="4" t="str">
        <f t="shared" si="0"/>
        <v/>
      </c>
      <c r="F4" s="2" t="s">
        <v>11</v>
      </c>
      <c r="G4" s="2" t="s">
        <v>12</v>
      </c>
      <c r="H4" s="2" t="s">
        <v>16</v>
      </c>
    </row>
    <row r="5" spans="1:8" ht="29" x14ac:dyDescent="0.35">
      <c r="A5" s="2" t="s">
        <v>17</v>
      </c>
      <c r="B5" s="2" t="s">
        <v>18</v>
      </c>
      <c r="C5" s="3">
        <v>1</v>
      </c>
      <c r="D5" s="4" t="s">
        <v>11</v>
      </c>
      <c r="E5" s="4" t="str">
        <f t="shared" si="0"/>
        <v/>
      </c>
      <c r="F5" s="2" t="s">
        <v>11</v>
      </c>
      <c r="G5" s="2" t="s">
        <v>19</v>
      </c>
      <c r="H5" s="2" t="s">
        <v>20</v>
      </c>
    </row>
    <row r="6" spans="1:8" ht="29" x14ac:dyDescent="0.35">
      <c r="A6" s="2" t="s">
        <v>21</v>
      </c>
      <c r="B6" s="2" t="s">
        <v>22</v>
      </c>
      <c r="C6" s="3">
        <v>2</v>
      </c>
      <c r="D6" s="4" t="s">
        <v>11</v>
      </c>
      <c r="E6" s="4" t="str">
        <f t="shared" si="0"/>
        <v/>
      </c>
      <c r="F6" s="2" t="s">
        <v>11</v>
      </c>
      <c r="G6" s="2" t="s">
        <v>23</v>
      </c>
      <c r="H6" s="2" t="s">
        <v>24</v>
      </c>
    </row>
    <row r="7" spans="1:8" ht="29" x14ac:dyDescent="0.35">
      <c r="A7" s="2" t="s">
        <v>25</v>
      </c>
      <c r="B7" s="2" t="s">
        <v>26</v>
      </c>
      <c r="C7" s="3">
        <v>1</v>
      </c>
      <c r="D7" s="4" t="s">
        <v>11</v>
      </c>
      <c r="E7" s="4" t="str">
        <f t="shared" si="0"/>
        <v/>
      </c>
      <c r="F7" s="2" t="s">
        <v>11</v>
      </c>
      <c r="G7" s="2" t="s">
        <v>19</v>
      </c>
      <c r="H7" s="2" t="s">
        <v>27</v>
      </c>
    </row>
    <row r="8" spans="1:8" ht="29" x14ac:dyDescent="0.35">
      <c r="A8" s="2" t="s">
        <v>28</v>
      </c>
      <c r="B8" s="2" t="s">
        <v>29</v>
      </c>
      <c r="C8" s="3">
        <v>1</v>
      </c>
      <c r="D8" s="4" t="s">
        <v>11</v>
      </c>
      <c r="E8" s="4" t="str">
        <f t="shared" si="0"/>
        <v/>
      </c>
      <c r="F8" s="2" t="s">
        <v>11</v>
      </c>
      <c r="G8" s="2" t="s">
        <v>19</v>
      </c>
      <c r="H8" s="2" t="s">
        <v>30</v>
      </c>
    </row>
    <row r="9" spans="1:8" ht="29" x14ac:dyDescent="0.35">
      <c r="A9" s="2" t="s">
        <v>31</v>
      </c>
      <c r="B9" s="2" t="s">
        <v>32</v>
      </c>
      <c r="C9" s="3">
        <v>1</v>
      </c>
      <c r="D9" s="4" t="s">
        <v>11</v>
      </c>
      <c r="E9" s="4" t="str">
        <f t="shared" si="0"/>
        <v/>
      </c>
      <c r="F9" s="2" t="s">
        <v>11</v>
      </c>
      <c r="G9" s="2" t="s">
        <v>19</v>
      </c>
      <c r="H9" s="2" t="s">
        <v>33</v>
      </c>
    </row>
    <row r="10" spans="1:8" ht="29" x14ac:dyDescent="0.35">
      <c r="A10" s="2" t="s">
        <v>34</v>
      </c>
      <c r="B10" s="2" t="s">
        <v>35</v>
      </c>
      <c r="C10" s="3">
        <v>1</v>
      </c>
      <c r="D10" s="4" t="s">
        <v>11</v>
      </c>
      <c r="E10" s="4" t="str">
        <f t="shared" si="0"/>
        <v/>
      </c>
      <c r="F10" s="2" t="s">
        <v>11</v>
      </c>
      <c r="G10" s="2" t="s">
        <v>19</v>
      </c>
      <c r="H10" s="2" t="s">
        <v>36</v>
      </c>
    </row>
    <row r="11" spans="1:8" x14ac:dyDescent="0.35">
      <c r="A11" s="2" t="s">
        <v>37</v>
      </c>
      <c r="B11" s="2" t="s">
        <v>38</v>
      </c>
      <c r="C11" s="3">
        <v>1</v>
      </c>
      <c r="D11" s="4" t="s">
        <v>11</v>
      </c>
      <c r="E11" s="4" t="str">
        <f t="shared" si="0"/>
        <v/>
      </c>
      <c r="F11" s="2" t="s">
        <v>11</v>
      </c>
      <c r="G11" s="2" t="s">
        <v>39</v>
      </c>
      <c r="H11" s="2" t="s">
        <v>40</v>
      </c>
    </row>
    <row r="12" spans="1:8" x14ac:dyDescent="0.35">
      <c r="A12" s="2" t="s">
        <v>41</v>
      </c>
      <c r="B12" s="2" t="s">
        <v>42</v>
      </c>
      <c r="C12" s="3">
        <v>1</v>
      </c>
      <c r="D12" s="4" t="s">
        <v>11</v>
      </c>
      <c r="E12" s="4" t="str">
        <f t="shared" si="0"/>
        <v/>
      </c>
      <c r="F12" s="2" t="s">
        <v>11</v>
      </c>
      <c r="G12" s="2" t="s">
        <v>12</v>
      </c>
      <c r="H12" s="2" t="s">
        <v>43</v>
      </c>
    </row>
    <row r="13" spans="1:8" ht="29" x14ac:dyDescent="0.35">
      <c r="A13" s="2" t="s">
        <v>44</v>
      </c>
      <c r="B13" s="2" t="s">
        <v>45</v>
      </c>
      <c r="C13" s="3">
        <v>1</v>
      </c>
      <c r="D13" s="4" t="s">
        <v>11</v>
      </c>
      <c r="E13" s="4" t="str">
        <f t="shared" si="0"/>
        <v/>
      </c>
      <c r="F13" s="2" t="s">
        <v>11</v>
      </c>
      <c r="G13" s="2" t="s">
        <v>46</v>
      </c>
      <c r="H13" s="2" t="s">
        <v>47</v>
      </c>
    </row>
    <row r="14" spans="1:8" ht="29" x14ac:dyDescent="0.35">
      <c r="A14" s="2" t="s">
        <v>48</v>
      </c>
      <c r="B14" s="2" t="s">
        <v>49</v>
      </c>
      <c r="C14" s="3">
        <v>1</v>
      </c>
      <c r="D14" s="4" t="s">
        <v>11</v>
      </c>
      <c r="E14" s="4" t="str">
        <f t="shared" si="0"/>
        <v/>
      </c>
      <c r="F14" s="2" t="s">
        <v>11</v>
      </c>
      <c r="G14" s="2" t="s">
        <v>39</v>
      </c>
      <c r="H14" s="2" t="s">
        <v>50</v>
      </c>
    </row>
    <row r="15" spans="1:8" x14ac:dyDescent="0.35">
      <c r="A15" s="5"/>
      <c r="B15" s="5"/>
      <c r="C15" s="5"/>
      <c r="D15" s="5"/>
      <c r="E15" s="5"/>
      <c r="F15" s="5"/>
      <c r="G15" s="5"/>
      <c r="H15" s="5"/>
    </row>
    <row r="16" spans="1:8" ht="13.4" customHeight="1" x14ac:dyDescent="0.35">
      <c r="A16" s="10" t="s">
        <v>51</v>
      </c>
      <c r="B16" s="11"/>
      <c r="C16" s="11"/>
      <c r="D16" s="11"/>
      <c r="E16" s="7" t="str">
        <f>IF(COUNT(E3:E14)=0,"",SUM(E3:E14))</f>
        <v/>
      </c>
      <c r="F16" s="6"/>
      <c r="G16" s="6"/>
      <c r="H16" s="6"/>
    </row>
    <row r="18" spans="1:8" ht="20" customHeight="1" x14ac:dyDescent="0.35">
      <c r="A18" s="8"/>
      <c r="B18" s="9"/>
      <c r="C18" s="9"/>
      <c r="D18" s="9"/>
      <c r="E18" s="9"/>
      <c r="F18" s="9"/>
      <c r="G18" s="9"/>
      <c r="H18" s="9"/>
    </row>
  </sheetData>
  <mergeCells count="3">
    <mergeCell ref="A18:H18"/>
    <mergeCell ref="A16:D16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Morales</cp:lastModifiedBy>
  <dcterms:modified xsi:type="dcterms:W3CDTF">2026-01-01T23:35:12Z</dcterms:modified>
</cp:coreProperties>
</file>